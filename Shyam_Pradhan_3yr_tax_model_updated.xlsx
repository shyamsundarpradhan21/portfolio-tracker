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Loss Carry-Forward Ledger" sheetId="2" state="visible" r:id="rId2"/>
    <sheet name="FY25-26 Computation" sheetId="3" state="visible" r:id="rId3"/>
    <sheet name="Compliance &amp; Flags" sheetId="4" state="visible" r:id="rId4"/>
    <sheet name="FY26-27 Projec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₹#,##0;&quot;(₹&quot;#,##0\);\-"/>
    <numFmt numFmtId="165" formatCode="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i val="1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right" vertical="bottom"/>
    </xf>
    <xf numFmtId="0" fontId="11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right" vertical="bottom"/>
    </xf>
    <xf numFmtId="165" fontId="9" fillId="0" borderId="1" applyAlignment="1" pivotButton="0" quotePrefix="0" xfId="0">
      <alignment horizontal="right" vertical="bottom"/>
    </xf>
    <xf numFmtId="0" fontId="13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right" vertical="bottom"/>
    </xf>
    <xf numFmtId="0" fontId="0" fillId="7" borderId="1" applyAlignment="1" pivotButton="0" quotePrefix="0" xfId="0">
      <alignment horizontal="general" vertical="bottom"/>
    </xf>
    <xf numFmtId="164" fontId="0" fillId="7" borderId="1" applyAlignment="1" pivotButton="0" quotePrefix="0" xfId="0">
      <alignment horizontal="right" vertical="bottom"/>
    </xf>
    <xf numFmtId="0" fontId="16" fillId="7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right" vertical="bottom"/>
    </xf>
    <xf numFmtId="0" fontId="16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right" vertical="bottom"/>
    </xf>
    <xf numFmtId="0" fontId="10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center" vertical="bottom"/>
    </xf>
    <xf numFmtId="0" fontId="6" fillId="3" borderId="0" applyAlignment="1" pivotButton="0" quotePrefix="0" xfId="0">
      <alignment horizontal="general" vertical="bottom"/>
    </xf>
    <xf numFmtId="0" fontId="14" fillId="0" borderId="2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right" vertical="bottom"/>
    </xf>
    <xf numFmtId="0" fontId="11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right" vertical="bottom"/>
    </xf>
    <xf numFmtId="165" fontId="9" fillId="0" borderId="1" applyAlignment="1" pivotButton="0" quotePrefix="0" xfId="0">
      <alignment horizontal="right" vertical="bottom"/>
    </xf>
    <xf numFmtId="0" fontId="13" fillId="6" borderId="2" applyAlignment="1" pivotButton="0" quotePrefix="0" xfId="0">
      <alignment horizontal="left" vertical="center"/>
    </xf>
    <xf numFmtId="0" fontId="0" fillId="0" borderId="4" pivotButton="0" quotePrefix="0" xfId="0"/>
    <xf numFmtId="0" fontId="14" fillId="6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right" vertical="bottom"/>
    </xf>
    <xf numFmtId="0" fontId="0" fillId="7" borderId="1" applyAlignment="1" pivotButton="0" quotePrefix="0" xfId="0">
      <alignment horizontal="general" vertical="bottom"/>
    </xf>
    <xf numFmtId="164" fontId="0" fillId="7" borderId="1" applyAlignment="1" pivotButton="0" quotePrefix="0" xfId="0">
      <alignment horizontal="right" vertical="bottom"/>
    </xf>
    <xf numFmtId="0" fontId="16" fillId="7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right" vertical="bottom"/>
    </xf>
    <xf numFmtId="0" fontId="16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right" vertical="bottom"/>
    </xf>
    <xf numFmtId="0" fontId="10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center" vertical="bottom"/>
    </xf>
    <xf numFmtId="0" fontId="6" fillId="3" borderId="0" applyAlignment="1" pivotButton="0" quotePrefix="0" xfId="0">
      <alignment horizontal="general" vertical="bottom"/>
    </xf>
    <xf numFmtId="0" fontId="14" fillId="0" borderId="2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41" min="1" max="1"/>
    <col width="18" customWidth="1" style="41" min="2" max="4"/>
    <col width="20" customWidth="1" style="41" min="5" max="5"/>
  </cols>
  <sheetData>
    <row r="1" ht="25.5" customHeight="1" s="42">
      <c r="A1" s="43" t="inlineStr">
        <is>
          <t>Shyam Sundar Pradhan — 3-Year Tax Model</t>
        </is>
      </c>
    </row>
    <row r="2" ht="15" customHeight="1" s="42">
      <c r="A2" s="44" t="inlineStr">
        <is>
          <t xml:space="preserve">PAN CGNPP8596H · ITR-3 · New Regime (115BAC) · prepared </t>
        </is>
      </c>
    </row>
    <row r="3"/>
    <row r="4" ht="27.75" customHeight="1" s="42">
      <c r="A4" s="45" t="inlineStr">
        <is>
          <t>Assessment Year</t>
        </is>
      </c>
      <c r="B4" s="46" t="inlineStr">
        <is>
          <t>AY 2024-25</t>
        </is>
      </c>
      <c r="C4" s="46" t="inlineStr">
        <is>
          <t>AY 2025-26</t>
        </is>
      </c>
      <c r="D4" s="46" t="inlineStr">
        <is>
          <t>AY 2026-27</t>
        </is>
      </c>
      <c r="E4" s="46" t="inlineStr">
        <is>
          <t>Trend / Note</t>
        </is>
      </c>
    </row>
    <row r="5" ht="27.75" customHeight="1" s="42">
      <c r="A5" s="47" t="inlineStr">
        <is>
          <t>Financial Year</t>
        </is>
      </c>
      <c r="B5" s="48" t="inlineStr">
        <is>
          <t>FY 2023-24</t>
        </is>
      </c>
      <c r="C5" s="48" t="inlineStr">
        <is>
          <t>FY 2024-25</t>
        </is>
      </c>
      <c r="D5" s="48" t="inlineStr">
        <is>
          <t>FY 2025-26 (current)</t>
        </is>
      </c>
      <c r="E5" s="48" t="n"/>
    </row>
    <row r="6" ht="15" customHeight="1" s="42">
      <c r="A6" s="49" t="inlineStr">
        <is>
          <t>Salary (taxable, after std. deduction)</t>
        </is>
      </c>
      <c r="B6" s="50" t="n">
        <v>1031960</v>
      </c>
      <c r="C6" s="50" t="n">
        <v>1345455</v>
      </c>
      <c r="D6" s="50" t="n">
        <v>1425000</v>
      </c>
      <c r="E6" s="51" t="inlineStr">
        <is>
          <t>Rising</t>
        </is>
      </c>
    </row>
    <row r="7" ht="15" customHeight="1" s="42">
      <c r="A7" s="49" t="inlineStr">
        <is>
          <t>F&amp;O business — non-speculative (net)</t>
        </is>
      </c>
      <c r="B7" s="50" t="n">
        <v>-175096</v>
      </c>
      <c r="C7" s="50" t="n">
        <v>-391068</v>
      </c>
      <c r="D7" s="50" t="n">
        <v>-12619</v>
      </c>
      <c r="E7" s="51" t="inlineStr">
        <is>
          <t>Loss every year</t>
        </is>
      </c>
    </row>
    <row r="8" ht="15" customHeight="1" s="42">
      <c r="A8" s="49" t="inlineStr">
        <is>
          <t>Speculative (intraday)</t>
        </is>
      </c>
      <c r="B8" s="50" t="n">
        <v>-16958</v>
      </c>
      <c r="C8" s="50" t="n">
        <v>-67310</v>
      </c>
      <c r="D8" s="50" t="n">
        <v>-39</v>
      </c>
      <c r="E8" s="51" t="inlineStr">
        <is>
          <t>Loss every year</t>
        </is>
      </c>
    </row>
    <row r="9" ht="15" customHeight="1" s="42">
      <c r="A9" s="49" t="inlineStr">
        <is>
          <t>Capital gains — gross (before set-off)</t>
        </is>
      </c>
      <c r="B9" s="50" t="n">
        <v>20335</v>
      </c>
      <c r="C9" s="50" t="n">
        <v>-4700</v>
      </c>
      <c r="D9" s="50" t="n">
        <v>29170</v>
      </c>
      <c r="E9" s="51" t="inlineStr">
        <is>
          <t>FY25-26: incl. foreign STCG</t>
        </is>
      </c>
    </row>
    <row r="10" ht="15" customHeight="1" s="42">
      <c r="A10" s="49" t="inlineStr">
        <is>
          <t>Income from Other Sources</t>
        </is>
      </c>
      <c r="B10" s="50" t="n">
        <v>13555</v>
      </c>
      <c r="C10" s="50" t="n">
        <v>19263</v>
      </c>
      <c r="D10" s="50" t="n">
        <v>6964</v>
      </c>
      <c r="E10" s="51" t="inlineStr">
        <is>
          <t>Dividends/interest</t>
        </is>
      </c>
    </row>
    <row r="11" ht="15" customHeight="1" s="42">
      <c r="A11" s="52" t="inlineStr">
        <is>
          <t>GROSS TOTAL INCOME (taxable)</t>
        </is>
      </c>
      <c r="B11" s="53" t="n">
        <v>1031960</v>
      </c>
      <c r="C11" s="53" t="n">
        <v>1345460</v>
      </c>
      <c r="D11" s="53" t="n">
        <v>1443815</v>
      </c>
      <c r="E11" s="51" t="inlineStr">
        <is>
          <t>After loss set-off</t>
        </is>
      </c>
    </row>
    <row r="12"/>
    <row r="13" ht="27.75" customHeight="1" s="42">
      <c r="A13" s="45" t="inlineStr">
        <is>
          <t>TAX POSITION</t>
        </is>
      </c>
      <c r="B13" s="46" t="inlineStr">
        <is>
          <t>AY 2024-25</t>
        </is>
      </c>
      <c r="C13" s="46" t="inlineStr">
        <is>
          <t>AY 2025-26</t>
        </is>
      </c>
      <c r="D13" s="46" t="inlineStr">
        <is>
          <t>AY 2026-27</t>
        </is>
      </c>
      <c r="E13" s="46" t="inlineStr">
        <is>
          <t>Note</t>
        </is>
      </c>
    </row>
    <row r="14" ht="15" customHeight="1" s="42">
      <c r="A14" s="49" t="inlineStr">
        <is>
          <t>Total tax (incl. 4% cess), pre-FTC</t>
        </is>
      </c>
      <c r="B14" s="50" t="n">
        <v>67386</v>
      </c>
      <c r="C14" s="50" t="n">
        <v>113456</v>
      </c>
      <c r="D14" s="50" t="n">
        <v>101168</v>
      </c>
      <c r="E14" s="51" t="inlineStr">
        <is>
          <t>FY25-26 lower despite higher income — wider FY25-26 slabs</t>
        </is>
      </c>
    </row>
    <row r="15" ht="15" customHeight="1" s="42">
      <c r="A15" s="49" t="inlineStr">
        <is>
          <t>Foreign Tax Credit (Form 67)</t>
        </is>
      </c>
      <c r="B15" s="50" t="n">
        <v>0</v>
      </c>
      <c r="C15" s="50" t="n">
        <v>196</v>
      </c>
      <c r="D15" s="50" t="n">
        <v>279</v>
      </c>
      <c r="E15" s="51" t="inlineStr">
        <is>
          <t>US dividend WHT; mostly unrelieved</t>
        </is>
      </c>
    </row>
    <row r="16" ht="15" customHeight="1" s="42">
      <c r="A16" s="54" t="inlineStr">
        <is>
          <t>Net tax liability</t>
        </is>
      </c>
      <c r="B16" s="55" t="n">
        <v>67386</v>
      </c>
      <c r="C16" s="55" t="n">
        <v>113260</v>
      </c>
      <c r="D16" s="55" t="n">
        <v>100889</v>
      </c>
      <c r="E16" s="51" t="inlineStr">
        <is>
          <t>Approx for FY25-26</t>
        </is>
      </c>
    </row>
    <row r="17" ht="15" customHeight="1" s="42">
      <c r="A17" s="49" t="inlineStr">
        <is>
          <t>Effective tax rate</t>
        </is>
      </c>
      <c r="B17" s="56">
        <f>B16/B11</f>
        <v/>
      </c>
      <c r="C17" s="56">
        <f>C16/C11</f>
        <v/>
      </c>
      <c r="D17" s="56">
        <f>D16/D11</f>
        <v/>
      </c>
      <c r="E17" s="51" t="inlineStr">
        <is>
          <t>On taxable income</t>
        </is>
      </c>
    </row>
    <row r="18"/>
    <row r="19"/>
    <row r="20" ht="18" customHeight="1" s="42">
      <c r="A20" s="57" t="inlineStr">
        <is>
          <t>⚠ ACCUMULATED LOSS POOL carried into AY2026-27 (cannot offset salary):</t>
        </is>
      </c>
      <c r="B20" s="58" t="n"/>
      <c r="C20" s="58" t="n"/>
      <c r="D20" s="58" t="n"/>
      <c r="E20" s="58" t="n"/>
    </row>
    <row r="21" ht="18" customHeight="1" s="42">
      <c r="A21" s="59" t="inlineStr">
        <is>
          <t xml:space="preserve">    • Non-speculative F&amp;O loss: ₹5,13,011  — usable only against future F&amp;O profit (8-yr expiry)</t>
        </is>
      </c>
      <c r="B21" s="58" t="n"/>
      <c r="C21" s="58" t="n"/>
      <c r="D21" s="58" t="n"/>
      <c r="E21" s="58" t="n"/>
    </row>
    <row r="22" ht="18" customHeight="1" s="42">
      <c r="A22" s="60" t="inlineStr">
        <is>
          <t xml:space="preserve">    • Speculative loss: ₹84,307  — usable only against future intraday profit (4-yr expiry)</t>
        </is>
      </c>
      <c r="B22" s="58" t="n"/>
      <c r="C22" s="58" t="n"/>
      <c r="D22" s="58" t="n"/>
      <c r="E22" s="58" t="n"/>
    </row>
    <row r="23" ht="18" customHeight="1" s="42">
      <c r="A23" s="60" t="inlineStr">
        <is>
          <t xml:space="preserve">    • ₹16,958 of speculative loss EXPIRES end of AY2028-29 if unused — first to die</t>
        </is>
      </c>
      <c r="B23" s="58" t="n"/>
      <c r="C23" s="58" t="n"/>
      <c r="D23" s="58" t="n"/>
      <c r="E23" s="58" t="n"/>
    </row>
    <row r="24" ht="18" customHeight="1" s="42">
      <c r="A24" s="61" t="inlineStr">
        <is>
          <t>✓ ₹4,700 brought-forward STCG loss IS usable in AY2026-27 — claimed against current STCG</t>
        </is>
      </c>
      <c r="B24" s="58" t="n"/>
      <c r="C24" s="58" t="n"/>
      <c r="D24" s="58" t="n"/>
      <c r="E24" s="58" t="n"/>
    </row>
    <row r="25" ht="18" customHeight="1" s="42">
      <c r="A25" s="61" t="inlineStr">
        <is>
          <t>✓ Foreign-asset (Schedule FA) history is clean: nil in CY2023 (no account), disclosed CY2024 onward</t>
        </is>
      </c>
      <c r="B25" s="58" t="n"/>
      <c r="C25" s="58" t="n"/>
      <c r="D25" s="58" t="n"/>
      <c r="E25" s="58" t="n"/>
    </row>
    <row r="26" ht="18" customHeight="1" s="42">
      <c r="A26" s="61" t="inlineStr">
        <is>
          <t>✓ All 3 returns filed within due date u/s 139(1) → every carried-forward loss is valid</t>
        </is>
      </c>
      <c r="B26" s="58" t="n"/>
      <c r="C26" s="58" t="n"/>
      <c r="D26" s="58" t="n"/>
      <c r="E26" s="58" t="n"/>
    </row>
    <row r="28">
      <c r="A28" t="inlineStr">
        <is>
          <t>⚠  FY2026-27 CF ABSORPTION — RUNNING (data as of Jun 2026):</t>
        </is>
      </c>
    </row>
    <row r="29">
      <c r="A29" t="inlineStr">
        <is>
          <t xml:space="preserve">    •  F&amp;O profit realised YTD (S01 ₹5,500 + S02 ₹92,512): +₹98,012</t>
        </is>
      </c>
    </row>
    <row r="30">
      <c r="A30" t="inlineStr">
        <is>
          <t xml:space="preserve">    •  Non-spec CF pool after realised absorption: ₹4,14,999  (was ₹5,13,011)</t>
        </is>
      </c>
    </row>
    <row r="31">
      <c r="A31" t="inlineStr">
        <is>
          <t xml:space="preserve">    •  AY2024-25 tranche (₹1,41,206; exp AY2032-33) → ₹43,194 remaining</t>
        </is>
      </c>
    </row>
    <row r="32">
      <c r="A32" t="inlineStr">
        <is>
          <t xml:space="preserve">    •  AY2025-26 tranche (₹3,71,805; exp AY2033-34) → untouched</t>
        </is>
      </c>
    </row>
    <row r="33">
      <c r="A33" t="inlineStr">
        <is>
          <t xml:space="preserve">    •  If live swing ₹8,364 books: non-spec pool → ₹4,06,635; total → ₹4,90,942</t>
        </is>
      </c>
    </row>
    <row r="34">
      <c r="A34" t="inlineStr">
        <is>
          <t xml:space="preserve">    •  Speculative pool: unchanged ₹84,307 (no intraday in FY26-27 yet)</t>
        </is>
      </c>
    </row>
    <row r="35">
      <c r="A35" t="inlineStr">
        <is>
          <t xml:space="preserve">    •  Tax saving from realised CF absorption: ~₹15,290 incl. cess</t>
        </is>
      </c>
    </row>
  </sheetData>
  <mergeCells count="9">
    <mergeCell ref="A21:E21"/>
    <mergeCell ref="A2:F2"/>
    <mergeCell ref="A26:E26"/>
    <mergeCell ref="A20:E20"/>
    <mergeCell ref="A24:E24"/>
    <mergeCell ref="A1:F1"/>
    <mergeCell ref="A25:E25"/>
    <mergeCell ref="A23:E23"/>
    <mergeCell ref="A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41" min="1" max="1"/>
    <col width="24" customWidth="1" style="41" min="2" max="7"/>
    <col width="28" customWidth="1" style="42" min="3" max="3"/>
    <col width="32" customWidth="1" style="42" min="4" max="4"/>
    <col width="24" customWidth="1" style="42" min="5" max="5"/>
    <col width="14" customWidth="1" style="42" min="6" max="6"/>
    <col width="60" customWidth="1" style="42" min="7" max="7"/>
  </cols>
  <sheetData>
    <row r="1" ht="25.5" customHeight="1" s="42">
      <c r="A1" s="43" t="inlineStr">
        <is>
          <t>Loss Carry-Forward Ledger</t>
        </is>
      </c>
    </row>
    <row r="2" ht="15" customHeight="1" s="42">
      <c r="A2" s="44" t="inlineStr">
        <is>
          <t>Section 72 (business, 8 AY) · 73 (speculative, 4 AY) · 74 (capital, 8 AY). All returns filed on time → c/f valid.</t>
        </is>
      </c>
    </row>
    <row r="3"/>
    <row r="4" ht="21.75" customHeight="1" s="42">
      <c r="A4" s="62" t="inlineStr">
        <is>
          <t>A. NON-SPECULATIVE BUSINESS LOSS  (F&amp;O) — Section 72, expires after 8 assessment years</t>
        </is>
      </c>
    </row>
    <row r="5" ht="27.75" customHeight="1" s="42">
      <c r="A5" s="47" t="inlineStr">
        <is>
          <t>Origin AY</t>
        </is>
      </c>
      <c r="B5" s="48" t="inlineStr">
        <is>
          <t>Origin FY</t>
        </is>
      </c>
      <c r="C5" s="48" t="inlineStr">
        <is>
          <t>Loss originated</t>
        </is>
      </c>
      <c r="D5" s="48" t="inlineStr">
        <is>
          <t>Set-off to date</t>
        </is>
      </c>
      <c r="E5" s="48" t="inlineStr">
        <is>
          <t>Balance c/f</t>
        </is>
      </c>
      <c r="F5" s="48" t="inlineStr">
        <is>
          <t>Expires (end of)</t>
        </is>
      </c>
      <c r="G5" s="48" t="inlineStr">
        <is>
          <t>Status</t>
        </is>
      </c>
    </row>
    <row r="6" ht="15" customHeight="1" s="42">
      <c r="A6" s="63" t="inlineStr">
        <is>
          <t>AY2024-25</t>
        </is>
      </c>
      <c r="B6" s="63" t="inlineStr">
        <is>
          <t>FY2023-24</t>
        </is>
      </c>
      <c r="C6" s="64" t="n">
        <v>141206</v>
      </c>
      <c r="D6" s="64" t="n">
        <v>0</v>
      </c>
      <c r="E6" s="64">
        <f>C6-D6</f>
        <v/>
      </c>
      <c r="F6" s="63" t="inlineStr">
        <is>
          <t>AY2032-33</t>
        </is>
      </c>
      <c r="G6" s="65" t="inlineStr">
        <is>
          <t>Unused — no F&amp;O profit since</t>
        </is>
      </c>
    </row>
    <row r="7" ht="15" customHeight="1" s="42">
      <c r="A7" s="63" t="inlineStr">
        <is>
          <t>AY2025-26</t>
        </is>
      </c>
      <c r="B7" s="63" t="inlineStr">
        <is>
          <t>FY2024-25</t>
        </is>
      </c>
      <c r="C7" s="64" t="n">
        <v>371805</v>
      </c>
      <c r="D7" s="64" t="n">
        <v>0</v>
      </c>
      <c r="E7" s="64">
        <f>C7-D7</f>
        <v/>
      </c>
      <c r="F7" s="63" t="inlineStr">
        <is>
          <t>AY2033-34</t>
        </is>
      </c>
      <c r="G7" s="65" t="inlineStr">
        <is>
          <t>Unused</t>
        </is>
      </c>
    </row>
    <row r="8" ht="15" customHeight="1" s="42">
      <c r="A8" s="63" t="inlineStr">
        <is>
          <t>AY2026-27</t>
        </is>
      </c>
      <c r="B8" s="63" t="inlineStr">
        <is>
          <t>FY2025-26</t>
        </is>
      </c>
      <c r="C8" s="64" t="n">
        <v>12619</v>
      </c>
      <c r="D8" s="64" t="n">
        <v>12619</v>
      </c>
      <c r="E8" s="64" t="n">
        <v>0</v>
      </c>
      <c r="F8" s="63" t="inlineStr">
        <is>
          <t>n/a</t>
        </is>
      </c>
      <c r="G8" s="65" t="inlineStr">
        <is>
          <t>Current-yr loss set off vs CG/OS (s71) — not added to pool</t>
        </is>
      </c>
    </row>
    <row r="9" ht="15" customHeight="1" s="42">
      <c r="A9" s="52" t="inlineStr">
        <is>
          <t>TOTAL carried into future</t>
        </is>
      </c>
      <c r="B9" s="66" t="n"/>
      <c r="C9" s="66" t="n"/>
      <c r="D9" s="66" t="n"/>
      <c r="E9" s="67">
        <f>SUM(E6:E8)</f>
        <v/>
      </c>
      <c r="F9" s="66" t="n"/>
      <c r="G9" s="66" t="n"/>
    </row>
    <row r="10"/>
    <row r="11" ht="21.75" customHeight="1" s="42">
      <c r="A11" s="62" t="inlineStr">
        <is>
          <t>B. SPECULATIVE LOSS  (intraday equity) — Section 73, expires after only 4 assessment years</t>
        </is>
      </c>
    </row>
    <row r="12" ht="27.75" customHeight="1" s="42">
      <c r="A12" s="47" t="inlineStr">
        <is>
          <t>Origin AY</t>
        </is>
      </c>
      <c r="B12" s="48" t="inlineStr">
        <is>
          <t>Origin FY</t>
        </is>
      </c>
      <c r="C12" s="48" t="inlineStr">
        <is>
          <t>Loss originated</t>
        </is>
      </c>
      <c r="D12" s="48" t="inlineStr">
        <is>
          <t>Set-off to date</t>
        </is>
      </c>
      <c r="E12" s="48" t="inlineStr">
        <is>
          <t>Balance c/f</t>
        </is>
      </c>
      <c r="F12" s="48" t="inlineStr">
        <is>
          <t>Expires (end of)</t>
        </is>
      </c>
      <c r="G12" s="48" t="inlineStr">
        <is>
          <t>Status</t>
        </is>
      </c>
    </row>
    <row r="13" ht="15" customHeight="1" s="42">
      <c r="A13" s="68" t="inlineStr">
        <is>
          <t>AY2024-25</t>
        </is>
      </c>
      <c r="B13" s="68" t="inlineStr">
        <is>
          <t>FY2023-24</t>
        </is>
      </c>
      <c r="C13" s="69" t="n">
        <v>16958</v>
      </c>
      <c r="D13" s="69" t="n">
        <v>0</v>
      </c>
      <c r="E13" s="69">
        <f>C13-D13</f>
        <v/>
      </c>
      <c r="F13" s="68" t="inlineStr">
        <is>
          <t>AY2028-29</t>
        </is>
      </c>
      <c r="G13" s="70" t="inlineStr">
        <is>
          <t>FIRST TO EXPIRE — high risk unused</t>
        </is>
      </c>
    </row>
    <row r="14" ht="15" customHeight="1" s="42">
      <c r="A14" s="63" t="inlineStr">
        <is>
          <t>AY2025-26</t>
        </is>
      </c>
      <c r="B14" s="63" t="inlineStr">
        <is>
          <t>FY2024-25</t>
        </is>
      </c>
      <c r="C14" s="64" t="n">
        <v>67310</v>
      </c>
      <c r="D14" s="64" t="n">
        <v>0</v>
      </c>
      <c r="E14" s="64">
        <f>C14-D14</f>
        <v/>
      </c>
      <c r="F14" s="63" t="inlineStr">
        <is>
          <t>AY2029-30</t>
        </is>
      </c>
      <c r="G14" s="65" t="inlineStr">
        <is>
          <t>Unused</t>
        </is>
      </c>
    </row>
    <row r="15" ht="15" customHeight="1" s="42">
      <c r="A15" s="63" t="inlineStr">
        <is>
          <t>AY2026-27</t>
        </is>
      </c>
      <c r="B15" s="63" t="inlineStr">
        <is>
          <t>FY2025-26</t>
        </is>
      </c>
      <c r="C15" s="64" t="n">
        <v>39</v>
      </c>
      <c r="D15" s="64" t="n">
        <v>0</v>
      </c>
      <c r="E15" s="64">
        <f>C15-D15</f>
        <v/>
      </c>
      <c r="F15" s="63" t="inlineStr">
        <is>
          <t>AY2030-31</t>
        </is>
      </c>
      <c r="G15" s="65" t="inlineStr">
        <is>
          <t>Unused</t>
        </is>
      </c>
    </row>
    <row r="16" ht="15" customHeight="1" s="42">
      <c r="A16" s="52" t="inlineStr">
        <is>
          <t>TOTAL carried into future</t>
        </is>
      </c>
      <c r="B16" s="66" t="n"/>
      <c r="C16" s="66" t="n"/>
      <c r="D16" s="66" t="n"/>
      <c r="E16" s="67">
        <f>SUM(E13:E15)</f>
        <v/>
      </c>
      <c r="F16" s="66" t="n"/>
      <c r="G16" s="66" t="n"/>
    </row>
    <row r="17"/>
    <row r="18" ht="21.75" customHeight="1" s="42">
      <c r="A18" s="62" t="inlineStr">
        <is>
          <t>C. SHORT-TERM CAPITAL LOSS — Section 74, expires after 8 assessment years</t>
        </is>
      </c>
    </row>
    <row r="19" ht="27.75" customHeight="1" s="42">
      <c r="A19" s="47" t="inlineStr">
        <is>
          <t>Origin AY</t>
        </is>
      </c>
      <c r="B19" s="48" t="inlineStr">
        <is>
          <t>Origin FY</t>
        </is>
      </c>
      <c r="C19" s="48" t="inlineStr">
        <is>
          <t>Loss originated</t>
        </is>
      </c>
      <c r="D19" s="48" t="inlineStr">
        <is>
          <t>Set-off in AY2026-27</t>
        </is>
      </c>
      <c r="E19" s="48" t="inlineStr">
        <is>
          <t>Balance c/f</t>
        </is>
      </c>
      <c r="F19" s="48" t="inlineStr">
        <is>
          <t>Expires (end of)</t>
        </is>
      </c>
      <c r="G19" s="48" t="inlineStr">
        <is>
          <t>Status</t>
        </is>
      </c>
    </row>
    <row r="20" ht="15" customHeight="1" s="42">
      <c r="A20" s="71" t="inlineStr">
        <is>
          <t>AY2025-26</t>
        </is>
      </c>
      <c r="B20" s="71" t="inlineStr">
        <is>
          <t>FY2024-25</t>
        </is>
      </c>
      <c r="C20" s="72" t="n">
        <v>4700</v>
      </c>
      <c r="D20" s="72" t="n">
        <v>4700</v>
      </c>
      <c r="E20" s="72">
        <f>C20-D20</f>
        <v/>
      </c>
      <c r="F20" s="71" t="inlineStr">
        <is>
          <t>AY2033-34</t>
        </is>
      </c>
      <c r="G20" s="73" t="inlineStr">
        <is>
          <t>USED THIS YEAR vs STCG — saves ~₹730</t>
        </is>
      </c>
    </row>
    <row r="21"/>
    <row r="22" ht="15" customHeight="1" s="42">
      <c r="A22" s="74" t="inlineStr">
        <is>
          <t>KEY TAKEAWAY: ₹5.97 lakh of F&amp;O + speculative losses are 'frozen' — they can ONLY be revived by future derivatives/intraday PROFITS, never against salary, capital gains or interest. You have posted F&amp;O losses three years running. Unless a profitable F&amp;O year materialises, the speculative tranches (4-yr life) will expire worthless, starting with ₹16,958 at the end of AY2028-29. The losses are tax assets only on paper.</t>
        </is>
      </c>
      <c r="B22" s="75" t="n"/>
      <c r="C22" s="75" t="n"/>
      <c r="D22" s="75" t="n"/>
      <c r="E22" s="75" t="n"/>
      <c r="F22" s="75" t="n"/>
      <c r="G22" s="76" t="n"/>
    </row>
    <row r="23" ht="15" customHeight="1" s="42">
      <c r="A23" s="77" t="n"/>
      <c r="G23" s="78" t="n"/>
    </row>
    <row r="24" ht="15" customHeight="1" s="42">
      <c r="A24" s="79" t="n"/>
      <c r="B24" s="80" t="n"/>
      <c r="C24" s="80" t="n"/>
      <c r="D24" s="80" t="n"/>
      <c r="E24" s="80" t="n"/>
      <c r="F24" s="80" t="n"/>
      <c r="G24" s="81" t="n"/>
    </row>
    <row r="26">
      <c r="A26" t="inlineStr">
        <is>
          <t>D. FY2026-27 RUNNING CF ABSORPTION  (realised data as of Jun 2026  ·  swing unrealised)</t>
        </is>
      </c>
    </row>
    <row r="27">
      <c r="A27" t="inlineStr">
        <is>
          <t>Tranche</t>
        </is>
      </c>
      <c r="B27" t="inlineStr">
        <is>
          <t>Pool entering AY2026-27 (₹)</t>
        </is>
      </c>
      <c r="C27" t="inlineStr">
        <is>
          <t>Absorbed — realised F&amp;O (₹)</t>
        </is>
      </c>
      <c r="D27" t="inlineStr">
        <is>
          <t>Absorbed — live swing on booking (₹)</t>
        </is>
      </c>
      <c r="E27" t="inlineStr">
        <is>
          <t>Projected balance c/f (₹)</t>
        </is>
      </c>
      <c r="F27" t="inlineStr">
        <is>
          <t>Expiry AY</t>
        </is>
      </c>
      <c r="G27" t="inlineStr">
        <is>
          <t>Notes</t>
        </is>
      </c>
    </row>
    <row r="28">
      <c r="A28" t="inlineStr">
        <is>
          <t>Non-spec AY2024-25</t>
        </is>
      </c>
      <c r="B28" t="n">
        <v>141206</v>
      </c>
      <c r="C28" t="n">
        <v>98012</v>
      </c>
      <c r="D28" t="n">
        <v>8364</v>
      </c>
      <c r="E28" t="n">
        <v>34830</v>
      </c>
      <c r="F28" t="inlineStr">
        <is>
          <t>AY2032-33</t>
        </is>
      </c>
      <c r="G28" t="inlineStr">
        <is>
          <t>Oldest batch first; 43,194 residual after realised only</t>
        </is>
      </c>
    </row>
    <row r="29">
      <c r="A29" t="inlineStr">
        <is>
          <t>Non-spec AY2025-26</t>
        </is>
      </c>
      <c r="B29" t="n">
        <v>371805</v>
      </c>
      <c r="C29" t="n">
        <v>0</v>
      </c>
      <c r="D29" t="n">
        <v>0</v>
      </c>
      <c r="E29" t="n">
        <v>371805</v>
      </c>
      <c r="F29" t="inlineStr">
        <is>
          <t>AY2033-34</t>
        </is>
      </c>
      <c r="G29" t="inlineStr">
        <is>
          <t>Untouched</t>
        </is>
      </c>
    </row>
    <row r="30">
      <c r="A30" t="inlineStr">
        <is>
          <t>NON-SPEC TOTAL</t>
        </is>
      </c>
      <c r="B30" t="n">
        <v>513011</v>
      </c>
      <c r="C30" t="n">
        <v>98012</v>
      </c>
      <c r="D30" t="n">
        <v>8364</v>
      </c>
      <c r="E30" t="n">
        <v>406635</v>
      </c>
    </row>
    <row r="31">
      <c r="A31" t="inlineStr">
        <is>
          <t>Speculative (all 3 AYs)</t>
        </is>
      </c>
      <c r="B31" t="n">
        <v>84307</v>
      </c>
      <c r="C31" t="n">
        <v>0</v>
      </c>
      <c r="D31" t="n">
        <v>0</v>
      </c>
      <c r="E31" t="n">
        <v>84307</v>
      </c>
      <c r="F31" t="inlineStr">
        <is>
          <t>AY2028-29*</t>
        </is>
      </c>
      <c r="G31" t="inlineStr">
        <is>
          <t>*AY2024-25 tranche ₹16,958 — first to expire; no intraday profit yet</t>
        </is>
      </c>
    </row>
    <row r="32">
      <c r="A32" t="inlineStr">
        <is>
          <t>GRAND TOTAL LOSS POOL</t>
        </is>
      </c>
      <c r="B32" t="n">
        <v>597318</v>
      </c>
      <c r="C32" t="n">
        <v>98012</v>
      </c>
      <c r="D32" t="n">
        <v>8364</v>
      </c>
      <c r="E32" t="n">
        <v>490942</v>
      </c>
    </row>
    <row r="33">
      <c r="A33" t="inlineStr">
        <is>
          <t>Source: Dhan+Zerodha portfolio-tracker  ·  S01 ₹5,500 + S02 ₹92,512 realised  ·  swing ₹8,364 unrealised</t>
        </is>
      </c>
    </row>
  </sheetData>
  <mergeCells count="6">
    <mergeCell ref="A22:G24"/>
    <mergeCell ref="A1:G1"/>
    <mergeCell ref="A18:G18"/>
    <mergeCell ref="A4:G4"/>
    <mergeCell ref="A2:G2"/>
    <mergeCell ref="A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41" min="1" max="1"/>
    <col width="18" customWidth="1" style="41" min="2" max="2"/>
    <col width="44" customWidth="1" style="41" min="3" max="3"/>
  </cols>
  <sheetData>
    <row r="1" ht="25.5" customHeight="1" s="42">
      <c r="A1" s="43" t="inlineStr">
        <is>
          <t>Current-Year Computation — FY 2025-26 (AY 2026-27)</t>
        </is>
      </c>
    </row>
    <row r="2" ht="15" customHeight="1" s="42">
      <c r="A2" s="44" t="inlineStr">
        <is>
          <t>New Regime u/s 115BAC. Figures from broker tax reports + Vested schedules. *Domestic bank/FD interest still pending.*</t>
        </is>
      </c>
    </row>
    <row r="3"/>
    <row r="4" ht="27.75" customHeight="1" s="42">
      <c r="A4" s="45" t="inlineStr">
        <is>
          <t>Particulars</t>
        </is>
      </c>
      <c r="B4" s="46" t="inlineStr">
        <is>
          <t>Amount (₹)</t>
        </is>
      </c>
      <c r="C4" s="46" t="inlineStr">
        <is>
          <t>Basis / ITR location</t>
        </is>
      </c>
    </row>
    <row r="5" ht="19.5" customHeight="1" s="42">
      <c r="A5" s="62" t="inlineStr">
        <is>
          <t>INCOME</t>
        </is>
      </c>
    </row>
    <row r="6" ht="15" customHeight="1" s="42">
      <c r="A6" s="49" t="inlineStr">
        <is>
          <t>Salary (gross)</t>
        </is>
      </c>
      <c r="B6" s="82" t="n">
        <v>1500000</v>
      </c>
      <c r="C6" s="83" t="inlineStr">
        <is>
          <t>Schedule S — Form 16 pending for exact split</t>
        </is>
      </c>
    </row>
    <row r="7" ht="15" customHeight="1" s="42">
      <c r="A7" s="49" t="inlineStr">
        <is>
          <t>Less: Standard deduction</t>
        </is>
      </c>
      <c r="B7" s="82" t="n">
        <v>-75000</v>
      </c>
      <c r="C7" s="83" t="inlineStr">
        <is>
          <t>Only deduction allowed in new regime</t>
        </is>
      </c>
    </row>
    <row r="8" ht="15" customHeight="1" s="42">
      <c r="A8" s="52" t="inlineStr">
        <is>
          <t>Taxable salary</t>
        </is>
      </c>
      <c r="B8" s="67" t="n">
        <v>1425000</v>
      </c>
      <c r="C8" s="84" t="inlineStr">
        <is>
          <t>sub-total of above</t>
        </is>
      </c>
    </row>
    <row r="9" ht="15" customHeight="1" s="42">
      <c r="A9" s="49" t="inlineStr">
        <is>
          <t>F&amp;O business — non-speculative (net)</t>
        </is>
      </c>
      <c r="B9" s="82" t="n">
        <v>-12619</v>
      </c>
      <c r="C9" s="83" t="inlineStr">
        <is>
          <t>Sch BP; all 4 brokers; turnover ~₹77-86L → no audit</t>
        </is>
      </c>
    </row>
    <row r="10" ht="15" customHeight="1" s="42">
      <c r="A10" s="49" t="inlineStr">
        <is>
          <t>Speculative (intraday)</t>
        </is>
      </c>
      <c r="B10" s="82" t="n">
        <v>-39</v>
      </c>
      <c r="C10" s="83" t="inlineStr">
        <is>
          <t>Sch BP (separate) — c/f, isolated</t>
        </is>
      </c>
    </row>
    <row r="11" ht="15" customHeight="1" s="42">
      <c r="A11" s="49" t="inlineStr">
        <is>
          <t>STCG — domestic, 111A @20%</t>
        </is>
      </c>
      <c r="B11" s="82" t="n">
        <v>1476</v>
      </c>
      <c r="C11" s="83" t="inlineStr">
        <is>
          <t>FYERS + Dhan, STT-paid delivery</t>
        </is>
      </c>
    </row>
    <row r="12" ht="15" customHeight="1" s="42">
      <c r="A12" s="49" t="inlineStr">
        <is>
          <t>STCG — foreign (US shares), slab rate</t>
        </is>
      </c>
      <c r="B12" s="82" t="n">
        <v>27694</v>
      </c>
      <c r="C12" s="83" t="inlineStr">
        <is>
          <t>Sch CG + Sch FSI; held &lt;24m; no 111A</t>
        </is>
      </c>
    </row>
    <row r="13" ht="15" customHeight="1" s="42">
      <c r="A13" s="49" t="inlineStr">
        <is>
          <t>Other Sources (foreign div+int+SLIP, domestic div)</t>
        </is>
      </c>
      <c r="B13" s="82" t="n">
        <v>6964</v>
      </c>
      <c r="C13" s="83" t="inlineStr">
        <is>
          <t>Sch OS; + domestic interest PENDING</t>
        </is>
      </c>
    </row>
    <row r="14" ht="19.5" customHeight="1" s="42">
      <c r="A14" s="62" t="inlineStr">
        <is>
          <t>SET-OFFS</t>
        </is>
      </c>
    </row>
    <row r="15" ht="15" customHeight="1" s="42">
      <c r="A15" s="49" t="inlineStr">
        <is>
          <t>Less: current-yr F&amp;O loss vs STCG/OS (s71)</t>
        </is>
      </c>
      <c r="B15" s="82" t="n">
        <v>-12619</v>
      </c>
      <c r="C15" s="83" t="inlineStr">
        <is>
          <t>Removes 111A ₹1,476 + foreign STCG ₹11,143</t>
        </is>
      </c>
    </row>
    <row r="16" ht="15" customHeight="1" s="42">
      <c r="A16" s="49" t="inlineStr">
        <is>
          <t>Less: b/f STCG loss from AY2025-26 (s74)</t>
        </is>
      </c>
      <c r="B16" s="82" t="n">
        <v>-4700</v>
      </c>
      <c r="C16" s="83" t="inlineStr">
        <is>
          <t>Sch BFLA — claimed this year</t>
        </is>
      </c>
    </row>
    <row r="17" ht="15" customHeight="1" s="42">
      <c r="A17" s="52" t="inlineStr">
        <is>
          <t>TOTAL INCOME</t>
        </is>
      </c>
      <c r="B17" s="67" t="n">
        <v>1443815</v>
      </c>
      <c r="C17" s="84" t="inlineStr">
        <is>
          <t>Part B-TI</t>
        </is>
      </c>
    </row>
    <row r="18" ht="19.5" customHeight="1" s="42">
      <c r="A18" s="62" t="inlineStr">
        <is>
          <t>TAX</t>
        </is>
      </c>
    </row>
    <row r="19" ht="15" customHeight="1" s="42">
      <c r="A19" s="49" t="inlineStr">
        <is>
          <t>Tax at slab (all income, no special-rate left)</t>
        </is>
      </c>
      <c r="B19" s="82" t="n">
        <v>96572</v>
      </c>
      <c r="C19" s="83" t="inlineStr">
        <is>
          <t>4-8L@5% + 8-12L@10% + bal@15%</t>
        </is>
      </c>
    </row>
    <row r="20" ht="15" customHeight="1" s="42">
      <c r="A20" s="49" t="inlineStr">
        <is>
          <t>Rebate u/s 87A</t>
        </is>
      </c>
      <c r="B20" s="82" t="n">
        <v>0</v>
      </c>
      <c r="C20" s="83" t="inlineStr">
        <is>
          <t>Income &gt; ₹12L → not available</t>
        </is>
      </c>
    </row>
    <row r="21" ht="15" customHeight="1" s="42">
      <c r="A21" s="49" t="inlineStr">
        <is>
          <t>Add: Health &amp; Education cess @4%</t>
        </is>
      </c>
      <c r="B21" s="82" t="n">
        <v>3863</v>
      </c>
      <c r="C21" s="83" t="n"/>
    </row>
    <row r="22" ht="15" customHeight="1" s="42">
      <c r="A22" s="52" t="inlineStr">
        <is>
          <t>Total tax</t>
        </is>
      </c>
      <c r="B22" s="67" t="n">
        <v>100435</v>
      </c>
      <c r="C22" s="84" t="n"/>
    </row>
    <row r="23" ht="15" customHeight="1" s="42">
      <c r="A23" s="49" t="inlineStr">
        <is>
          <t>Less: Foreign Tax Credit (Form 67)</t>
        </is>
      </c>
      <c r="B23" s="82" t="n">
        <v>-279</v>
      </c>
      <c r="C23" s="83" t="inlineStr">
        <is>
          <t>Capped at avg rate ~6.96%; ~₹742 US tax unrelieved</t>
        </is>
      </c>
    </row>
    <row r="24" ht="15" customHeight="1" s="42">
      <c r="A24" s="54" t="inlineStr">
        <is>
          <t>NET TAX LIABILITY</t>
        </is>
      </c>
      <c r="B24" s="85" t="n">
        <v>100156</v>
      </c>
      <c r="C24" s="86" t="n"/>
    </row>
    <row r="25" ht="15" customHeight="1" s="42">
      <c r="A25" s="49" t="inlineStr">
        <is>
          <t>Less: salary TDS (approx — confirm via 26AS)</t>
        </is>
      </c>
      <c r="B25" s="82" t="n">
        <v>-97500</v>
      </c>
      <c r="C25" s="83" t="inlineStr">
        <is>
          <t>Form 16 / 26AS pending</t>
        </is>
      </c>
    </row>
    <row r="26" ht="15" customHeight="1" s="42">
      <c r="A26" s="54" t="inlineStr">
        <is>
          <t>SELF-ASSESSMENT TAX PAYABLE (approx)</t>
        </is>
      </c>
      <c r="B26" s="85" t="n">
        <v>2656</v>
      </c>
      <c r="C26" s="86" t="inlineStr">
        <is>
          <t>+ minor 234C interest on CG installments</t>
        </is>
      </c>
    </row>
    <row r="28">
      <c r="A28" t="inlineStr">
        <is>
          <t>LOSS POOL ENTERING AY2026-27  (carried forward from FY23-24 &amp; FY24-25)</t>
        </is>
      </c>
    </row>
    <row r="29">
      <c r="A29" t="inlineStr">
        <is>
          <t>Non-speculative F&amp;O  (Sec 72 · 8-yr life)</t>
        </is>
      </c>
      <c r="B29" t="n">
        <v>513011</v>
      </c>
      <c r="C29" t="inlineStr">
        <is>
          <t>FY25-26 loss ₹12,619 set off in-year vs STCG/OS (s71) — NOT added to pool</t>
        </is>
      </c>
    </row>
    <row r="30">
      <c r="A30" t="inlineStr">
        <is>
          <t xml:space="preserve">    AY2024-25 tranche  (expires AY2032-33)</t>
        </is>
      </c>
      <c r="B30" t="n">
        <v>141206</v>
      </c>
    </row>
    <row r="31">
      <c r="A31" t="inlineStr">
        <is>
          <t xml:space="preserve">    AY2025-26 tranche  (expires AY2033-34)</t>
        </is>
      </c>
      <c r="B31" t="n">
        <v>371805</v>
      </c>
    </row>
    <row r="32">
      <c r="A32" t="inlineStr">
        <is>
          <t>Speculative intraday  (Sec 73 · 4-yr life)</t>
        </is>
      </c>
      <c r="B32" t="n">
        <v>84307</v>
      </c>
      <c r="C32" t="inlineStr">
        <is>
          <t>AY2024-25 tranche ₹16,958 FIRST to expire AY2028-29 — monitor urgently</t>
        </is>
      </c>
    </row>
    <row r="33">
      <c r="A33" t="inlineStr">
        <is>
          <t xml:space="preserve">    AY2024-25  ← expires AY2028-29  ⚠ URGENT</t>
        </is>
      </c>
      <c r="B33" t="n">
        <v>16958</v>
      </c>
    </row>
    <row r="34">
      <c r="A34" t="inlineStr">
        <is>
          <t xml:space="preserve">    AY2025-26  (expires AY2029-30)</t>
        </is>
      </c>
      <c r="B34" t="n">
        <v>67310</v>
      </c>
    </row>
    <row r="35">
      <c r="A35" t="inlineStr">
        <is>
          <t xml:space="preserve">    AY2026-27  (expires AY2030-31)</t>
        </is>
      </c>
      <c r="B35" t="n">
        <v>39</v>
      </c>
    </row>
    <row r="36">
      <c r="A36" t="inlineStr">
        <is>
          <t>Short-term capital loss  (Sec 74)</t>
        </is>
      </c>
      <c r="B36" t="n">
        <v>0</v>
      </c>
      <c r="C36" t="inlineStr">
        <is>
          <t>₹4,700 BF loss fully consumed vs FY25-26 STCG — nil remaining</t>
        </is>
      </c>
    </row>
    <row r="37">
      <c r="A37" t="inlineStr">
        <is>
          <t>TOTAL LOSS POOL ENTERING AY2026-27</t>
        </is>
      </c>
      <c r="B37" t="n">
        <v>597318</v>
      </c>
    </row>
  </sheetData>
  <mergeCells count="5">
    <mergeCell ref="A1:D1"/>
    <mergeCell ref="A5:C5"/>
    <mergeCell ref="A14:C14"/>
    <mergeCell ref="A18:C18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1" min="1" max="1"/>
    <col width="22" customWidth="1" style="41" min="2" max="4"/>
  </cols>
  <sheetData>
    <row r="1" ht="25.5" customHeight="1" s="42">
      <c r="A1" s="43" t="inlineStr">
        <is>
          <t>Compliance Status &amp; Open Items</t>
        </is>
      </c>
    </row>
    <row r="2" ht="15" customHeight="1" s="42">
      <c r="A2" s="44" t="inlineStr">
        <is>
          <t>Cross-year compliance map and action list</t>
        </is>
      </c>
    </row>
    <row r="3"/>
    <row r="4" ht="27.75" customHeight="1" s="42">
      <c r="A4" s="45" t="inlineStr">
        <is>
          <t>Item</t>
        </is>
      </c>
      <c r="B4" s="46" t="inlineStr">
        <is>
          <t>AY 2024-25</t>
        </is>
      </c>
      <c r="C4" s="46" t="inlineStr">
        <is>
          <t>AY 2025-26</t>
        </is>
      </c>
      <c r="D4" s="46" t="inlineStr">
        <is>
          <t>AY 2026-27</t>
        </is>
      </c>
    </row>
    <row r="5" ht="15" customHeight="1" s="42">
      <c r="A5" s="49" t="inlineStr">
        <is>
          <t>Tax regime</t>
        </is>
      </c>
      <c r="B5" s="87" t="inlineStr">
        <is>
          <t>New (115BAC)</t>
        </is>
      </c>
      <c r="C5" s="87" t="inlineStr">
        <is>
          <t>New (115BAC)</t>
        </is>
      </c>
      <c r="D5" s="87" t="inlineStr">
        <is>
          <t>New (115BAC)</t>
        </is>
      </c>
    </row>
    <row r="6" ht="15" customHeight="1" s="42">
      <c r="A6" s="49" t="inlineStr">
        <is>
          <t>Opted out (Form 10-IEA)?</t>
        </is>
      </c>
      <c r="B6" s="87" t="inlineStr">
        <is>
          <t>No</t>
        </is>
      </c>
      <c r="C6" s="87" t="inlineStr">
        <is>
          <t>No</t>
        </is>
      </c>
      <c r="D6" s="87" t="inlineStr">
        <is>
          <t>No → no lock-in</t>
        </is>
      </c>
    </row>
    <row r="7" ht="15" customHeight="1" s="42">
      <c r="A7" s="49" t="inlineStr">
        <is>
          <t>Return filed u/s</t>
        </is>
      </c>
      <c r="B7" s="87" t="inlineStr">
        <is>
          <t>139(1) on time</t>
        </is>
      </c>
      <c r="C7" s="87" t="inlineStr">
        <is>
          <t>139(1) on time</t>
        </is>
      </c>
      <c r="D7" s="87" t="inlineStr">
        <is>
          <t>Due 31-Aug-2026</t>
        </is>
      </c>
    </row>
    <row r="8" ht="15" customHeight="1" s="42">
      <c r="A8" s="49" t="inlineStr">
        <is>
          <t>Verification date</t>
        </is>
      </c>
      <c r="B8" s="87" t="inlineStr">
        <is>
          <t>30-Jul-2024</t>
        </is>
      </c>
      <c r="C8" s="87" t="inlineStr">
        <is>
          <t>26-Aug-2025</t>
        </is>
      </c>
      <c r="D8" s="87" t="inlineStr">
        <is>
          <t>— pending</t>
        </is>
      </c>
    </row>
    <row r="9" ht="15" customHeight="1" s="42">
      <c r="A9" s="49" t="inlineStr">
        <is>
          <t>Schedule FA (foreign assets)</t>
        </is>
      </c>
      <c r="B9" s="87" t="inlineStr">
        <is>
          <t>NIL (correct)</t>
        </is>
      </c>
      <c r="C9" s="87" t="inlineStr">
        <is>
          <t>Disclosed</t>
        </is>
      </c>
      <c r="D9" s="88" t="inlineStr">
        <is>
          <t>REQUIRED (50+ holdings)</t>
        </is>
      </c>
    </row>
    <row r="10" ht="15" customHeight="1" s="42">
      <c r="A10" s="49" t="inlineStr">
        <is>
          <t>Foreign income / FTC</t>
        </is>
      </c>
      <c r="B10" s="87" t="inlineStr">
        <is>
          <t>None</t>
        </is>
      </c>
      <c r="C10" s="87" t="inlineStr">
        <is>
          <t>FTC ₹196</t>
        </is>
      </c>
      <c r="D10" s="87" t="inlineStr">
        <is>
          <t>FTC ~₹279 (Form 67)</t>
        </is>
      </c>
    </row>
    <row r="11" ht="15" customHeight="1" s="42">
      <c r="A11" s="49" t="inlineStr">
        <is>
          <t>Tax audit (44AB)?</t>
        </is>
      </c>
      <c r="B11" s="87" t="inlineStr">
        <is>
          <t>No</t>
        </is>
      </c>
      <c r="C11" s="87" t="inlineStr">
        <is>
          <t>No</t>
        </is>
      </c>
      <c r="D11" s="87" t="inlineStr">
        <is>
          <t>No (turnover&lt;₹10cr)</t>
        </is>
      </c>
    </row>
    <row r="12" ht="15" customHeight="1" s="42">
      <c r="A12" s="49" t="inlineStr">
        <is>
          <t>Presumptive 44AD?</t>
        </is>
      </c>
      <c r="B12" s="87" t="inlineStr">
        <is>
          <t>No</t>
        </is>
      </c>
      <c r="C12" s="87" t="inlineStr">
        <is>
          <t>No</t>
        </is>
      </c>
      <c r="D12" s="87" t="inlineStr">
        <is>
          <t>No</t>
        </is>
      </c>
    </row>
    <row r="13"/>
    <row r="14" ht="15" customHeight="1" s="42">
      <c r="A14" s="89" t="inlineStr">
        <is>
          <t>OPEN ACTION ITEMS (AY2026-27)</t>
        </is>
      </c>
    </row>
    <row r="15" ht="15.75" customHeight="1" s="42">
      <c r="A15" s="90" t="inlineStr">
        <is>
          <t>1. Obtain Form 16 → confirm exact salary breakup &amp; TDS.</t>
        </is>
      </c>
      <c r="B15" s="58" t="n"/>
      <c r="C15" s="58" t="n"/>
      <c r="D15" s="58" t="n"/>
    </row>
    <row r="16" ht="15.75" customHeight="1" s="42">
      <c r="A16" s="90" t="inlineStr">
        <is>
          <t>2. Add domestic savings/FD interest to Other Sources (no 80TTA/TTB in new regime → fully taxable).</t>
        </is>
      </c>
      <c r="B16" s="58" t="n"/>
      <c r="C16" s="58" t="n"/>
      <c r="D16" s="58" t="n"/>
    </row>
    <row r="17" ht="15.75" customHeight="1" s="42">
      <c r="A17" s="90" t="inlineStr">
        <is>
          <t>3. Reconcile salary TDS, dividends, F&amp;O &amp; interest against 26AS / AIS / TIS (after end-June).</t>
        </is>
      </c>
      <c r="B17" s="58" t="n"/>
      <c r="C17" s="58" t="n"/>
      <c r="D17" s="58" t="n"/>
    </row>
    <row r="18" ht="15.75" customHeight="1" s="42">
      <c r="A18" s="90" t="inlineStr">
        <is>
          <t>4. Prepare Schedule FA (calendar-year 2025 basis) for all US holdings — highest penalty item.</t>
        </is>
      </c>
      <c r="B18" s="58" t="n"/>
      <c r="C18" s="58" t="n"/>
      <c r="D18" s="58" t="n"/>
    </row>
    <row r="19" ht="15.75" customHeight="1" s="42">
      <c r="A19" s="90" t="inlineStr">
        <is>
          <t>5. File Form 67 on/before the return due date to preserve the ~₹279 FTC.</t>
        </is>
      </c>
      <c r="B19" s="58" t="n"/>
      <c r="C19" s="58" t="n"/>
      <c r="D19" s="58" t="n"/>
    </row>
    <row r="20" ht="15.75" customHeight="1" s="42">
      <c r="A20" s="90" t="inlineStr">
        <is>
          <t>6. Claim ₹4,700 b/f STCG loss in Schedule BFLA.</t>
        </is>
      </c>
      <c r="B20" s="58" t="n"/>
      <c r="C20" s="58" t="n"/>
      <c r="D20" s="58" t="n"/>
    </row>
    <row r="21" ht="15.75" customHeight="1" s="42">
      <c r="A21" s="90" t="inlineStr">
        <is>
          <t>7. Carry forward ₹5,13,011 business + ₹84,307 speculative loss (Schedule CFL).</t>
        </is>
      </c>
      <c r="B21" s="58" t="n"/>
      <c r="C21" s="58" t="n"/>
      <c r="D21" s="58" t="n"/>
    </row>
    <row r="22" ht="15.75" customHeight="1" s="42">
      <c r="A22" s="90" t="inlineStr">
        <is>
          <t>8. Pay ~₹2,656 self-assessment tax + any 234C before filing.</t>
        </is>
      </c>
      <c r="B22" s="58" t="n"/>
      <c r="C22" s="58" t="n"/>
      <c r="D22" s="58" t="n"/>
    </row>
    <row r="23" ht="15.75" customHeight="1" s="42">
      <c r="A23" s="90" t="inlineStr">
        <is>
          <t>9. File by 31-Aug-2026 to keep the c/f losses alive.</t>
        </is>
      </c>
      <c r="B23" s="58" t="n"/>
      <c r="C23" s="58" t="n"/>
      <c r="D23" s="58" t="n"/>
    </row>
  </sheetData>
  <mergeCells count="12">
    <mergeCell ref="A1:D1"/>
    <mergeCell ref="A17:D17"/>
    <mergeCell ref="A18:D18"/>
    <mergeCell ref="A23:D23"/>
    <mergeCell ref="A22:D22"/>
    <mergeCell ref="A20:D20"/>
    <mergeCell ref="A21:D21"/>
    <mergeCell ref="A15:D15"/>
    <mergeCell ref="A16:D16"/>
    <mergeCell ref="A2:D2"/>
    <mergeCell ref="A19:D19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5" customWidth="1" style="42" min="1" max="1"/>
    <col width="16" customWidth="1" style="42" min="2" max="2"/>
    <col width="70" customWidth="1" style="42" min="3" max="3"/>
  </cols>
  <sheetData>
    <row r="1">
      <c r="A1" t="inlineStr">
        <is>
          <t>FY 2026-27 Running Computation  (AY 2027-28)</t>
        </is>
      </c>
    </row>
    <row r="2">
      <c r="A2" t="inlineStr">
        <is>
          <t>New Regime u/s 115BAC  ·  F&amp;O from Dhan+Zerodha portfolio-tracker (Jun 2026)  ·  Salary/CG/OS: est. or TBD</t>
        </is>
      </c>
    </row>
    <row r="3"/>
    <row r="4">
      <c r="A4" t="inlineStr">
        <is>
          <t>Particulars</t>
        </is>
      </c>
      <c r="B4" t="inlineStr">
        <is>
          <t>Amount (₹)</t>
        </is>
      </c>
      <c r="C4" t="inlineStr">
        <is>
          <t>Basis / Notes</t>
        </is>
      </c>
    </row>
    <row r="5">
      <c r="A5" t="inlineStr">
        <is>
          <t>INCOME</t>
        </is>
      </c>
    </row>
    <row r="6">
      <c r="A6" t="inlineStr">
        <is>
          <t>Salary (gross)</t>
        </is>
      </c>
      <c r="B6" t="n">
        <v>1500000</v>
      </c>
      <c r="C6" t="inlineStr">
        <is>
          <t>Est. — Form 16 FY26-27 pending; assume same as FY25-26</t>
        </is>
      </c>
    </row>
    <row r="7">
      <c r="A7" t="inlineStr">
        <is>
          <t>Less: Standard deduction</t>
        </is>
      </c>
      <c r="B7" t="n">
        <v>-75000</v>
      </c>
      <c r="C7" t="inlineStr">
        <is>
          <t>Only deduction in new regime</t>
        </is>
      </c>
    </row>
    <row r="8">
      <c r="A8" t="inlineStr">
        <is>
          <t>Taxable salary</t>
        </is>
      </c>
      <c r="B8" t="n">
        <v>1425000</v>
      </c>
    </row>
    <row r="9">
      <c r="A9" t="inlineStr">
        <is>
          <t>F&amp;O gross profit — non-speculative (realised)</t>
        </is>
      </c>
      <c r="B9" t="n">
        <v>98012</v>
      </c>
      <c r="C9" t="inlineStr">
        <is>
          <t>S01 Credit-Spread ₹5,500 + S02 Swing ₹92,512  (Dhan+Zerodha, as of Jun 2026)</t>
        </is>
      </c>
    </row>
    <row r="10">
      <c r="A10" t="inlineStr">
        <is>
          <t>Less: B/F non-spec loss set-off  (Sch BFLA)</t>
        </is>
      </c>
      <c r="B10" t="n">
        <v>-98012</v>
      </c>
      <c r="C10" t="inlineStr">
        <is>
          <t>AY2024-25 tranche first; pool: ₹5,13,011 → ₹4,14,999</t>
        </is>
      </c>
    </row>
    <row r="11">
      <c r="A11" t="inlineStr">
        <is>
          <t>Net taxable F&amp;O income</t>
        </is>
      </c>
      <c r="B11" t="n">
        <v>0</v>
      </c>
      <c r="C11" t="inlineStr">
        <is>
          <t>CF fully shelters realised profit — tax saving ~₹15,290 incl. cess</t>
        </is>
      </c>
    </row>
    <row r="12">
      <c r="A12" t="inlineStr">
        <is>
          <t>Speculative (intraday)</t>
        </is>
      </c>
      <c r="B12" t="n">
        <v>0</v>
      </c>
      <c r="C12" t="inlineStr">
        <is>
          <t>No intraday trades in FY26-27 yet</t>
        </is>
      </c>
    </row>
    <row r="13">
      <c r="A13" t="inlineStr">
        <is>
          <t>Capital gains — live swing  (unrealised)</t>
        </is>
      </c>
      <c r="C13" t="inlineStr">
        <is>
          <t>₹8,364 unrealised as of Jun 2026; becomes STCG on exit</t>
        </is>
      </c>
    </row>
    <row r="14">
      <c r="A14" t="inlineStr">
        <is>
          <t>Other Sources  (dividends, interest)</t>
        </is>
      </c>
      <c r="C14" t="inlineStr">
        <is>
          <t>TBD after year-end</t>
        </is>
      </c>
    </row>
    <row r="15">
      <c r="A15" t="inlineStr">
        <is>
          <t>TOTAL TAXABLE INCOME  (salary only so far)</t>
        </is>
      </c>
      <c r="B15" t="n">
        <v>1425000</v>
      </c>
      <c r="C15" t="inlineStr">
        <is>
          <t>CG + OS added as they crystallise</t>
        </is>
      </c>
    </row>
    <row r="16"/>
    <row r="17">
      <c r="A17" t="inlineStr">
        <is>
          <t>TAX  (estimated on salary alone — new regime)</t>
        </is>
      </c>
      <c r="C17" t="inlineStr">
        <is>
          <t>Budget 2026 (post Aug-2025 cutoff) may have revised slabs; verify before filing</t>
        </is>
      </c>
    </row>
    <row r="18">
      <c r="A18" t="inlineStr">
        <is>
          <t xml:space="preserve">    0 – 4,00,000  @  0%</t>
        </is>
      </c>
      <c r="B18" t="n">
        <v>0</v>
      </c>
    </row>
    <row r="19">
      <c r="A19" t="inlineStr">
        <is>
          <t xml:space="preserve">    4,00,001 – 8,00,000  @  5%</t>
        </is>
      </c>
      <c r="B19" t="n">
        <v>20000</v>
      </c>
      <c r="C19" t="inlineStr">
        <is>
          <t>5% on ₹4L</t>
        </is>
      </c>
    </row>
    <row r="20">
      <c r="A20" t="inlineStr">
        <is>
          <t xml:space="preserve">    8,00,001 – 12,00,000  @  10%</t>
        </is>
      </c>
      <c r="B20" t="n">
        <v>40000</v>
      </c>
      <c r="C20" t="inlineStr">
        <is>
          <t>10% on ₹4L</t>
        </is>
      </c>
    </row>
    <row r="21">
      <c r="A21" t="inlineStr">
        <is>
          <t xml:space="preserve">    12,00,001 – 14,25,000  @  15%</t>
        </is>
      </c>
      <c r="B21" t="n">
        <v>33750</v>
      </c>
      <c r="C21" t="inlineStr">
        <is>
          <t>15% on ₹2.25L</t>
        </is>
      </c>
    </row>
    <row r="22">
      <c r="A22" t="inlineStr">
        <is>
          <t>Sub-total tax</t>
        </is>
      </c>
      <c r="B22" t="n">
        <v>93750</v>
      </c>
    </row>
    <row r="23">
      <c r="A23" t="inlineStr">
        <is>
          <t>Rebate u/s 87A</t>
        </is>
      </c>
      <c r="B23" t="n">
        <v>0</v>
      </c>
      <c r="C23" t="inlineStr">
        <is>
          <t>Income &gt; ₹12L — not eligible</t>
        </is>
      </c>
    </row>
    <row r="24">
      <c r="A24" t="inlineStr">
        <is>
          <t>Add: Health &amp; Education cess @4%</t>
        </is>
      </c>
      <c r="B24" t="n">
        <v>3750</v>
      </c>
    </row>
    <row r="25">
      <c r="A25" t="inlineStr">
        <is>
          <t>Total estimated tax  (salary only)</t>
        </is>
      </c>
      <c r="B25" t="n">
        <v>97500</v>
      </c>
    </row>
    <row r="26">
      <c r="A26" t="inlineStr">
        <is>
          <t>Foreign Tax Credit  (Form 67)</t>
        </is>
      </c>
      <c r="C26" t="inlineStr">
        <is>
          <t>TBD — FY26-27 US dividends</t>
        </is>
      </c>
    </row>
    <row r="27">
      <c r="A27" t="inlineStr">
        <is>
          <t>Salary TDS  (est.)</t>
        </is>
      </c>
      <c r="B27" t="n">
        <v>-97500</v>
      </c>
      <c r="C27" t="inlineStr">
        <is>
          <t>Assume ~same as FY25-26</t>
        </is>
      </c>
    </row>
    <row r="28">
      <c r="A28" t="inlineStr">
        <is>
          <t>BALANCE TAX  (salary only, approx)</t>
        </is>
      </c>
      <c r="B28" t="n">
        <v>0</v>
      </c>
      <c r="C28" t="inlineStr">
        <is>
          <t>Shifts as CG/OS crystallise</t>
        </is>
      </c>
    </row>
    <row r="29"/>
    <row r="30">
      <c r="A30" t="inlineStr">
        <is>
          <t>CF POOL — STATUS ENTERING AY2027-28</t>
        </is>
      </c>
    </row>
    <row r="31">
      <c r="A31" t="inlineStr">
        <is>
          <t>Non-spec pool  (realised absorption only)</t>
        </is>
      </c>
      <c r="B31" t="n">
        <v>414999</v>
      </c>
      <c r="C31" t="inlineStr">
        <is>
          <t>₹5,13,011 − ₹98,012 = ₹4,14,999</t>
        </is>
      </c>
    </row>
    <row r="32">
      <c r="A32" t="inlineStr">
        <is>
          <t xml:space="preserve">    AY2024-25 residual  (expires AY2032-33)</t>
        </is>
      </c>
      <c r="B32" t="n">
        <v>43194</v>
      </c>
      <c r="C32" t="inlineStr">
        <is>
          <t>₹1,41,206 − ₹98,012 = ₹43,194</t>
        </is>
      </c>
    </row>
    <row r="33">
      <c r="A33" t="inlineStr">
        <is>
          <t xml:space="preserve">    AY2025-26  (expires AY2033-34)</t>
        </is>
      </c>
      <c r="B33" t="n">
        <v>371805</v>
      </c>
      <c r="C33" t="inlineStr">
        <is>
          <t>Untouched</t>
        </is>
      </c>
    </row>
    <row r="34">
      <c r="A34" t="inlineStr">
        <is>
          <t>Non-spec pool  (if swing ₹8,364 books)</t>
        </is>
      </c>
      <c r="B34" t="n">
        <v>406635</v>
      </c>
      <c r="C34" t="inlineStr">
        <is>
          <t>₹4,14,999 − ₹8,364 = ₹4,06,635</t>
        </is>
      </c>
    </row>
    <row r="35">
      <c r="A35" t="inlineStr">
        <is>
          <t>Speculative pool  (unchanged)</t>
        </is>
      </c>
      <c r="B35" t="n">
        <v>84307</v>
      </c>
      <c r="C35" t="inlineStr">
        <is>
          <t>AY2024-25 tranche ₹16,958 — one year closer to AY2028-29 expiry</t>
        </is>
      </c>
    </row>
    <row r="36">
      <c r="A36" t="inlineStr">
        <is>
          <t>TOTAL loss pool  (realised absorption only)</t>
        </is>
      </c>
      <c r="B36" t="n">
        <v>499306</v>
      </c>
      <c r="C36" t="inlineStr">
        <is>
          <t>₹4,14,999 + ₹84,307</t>
        </is>
      </c>
    </row>
    <row r="37">
      <c r="A37" t="inlineStr">
        <is>
          <t>TOTAL loss pool  (if swing books)</t>
        </is>
      </c>
      <c r="B37" t="n">
        <v>490942</v>
      </c>
      <c r="C37" t="inlineStr">
        <is>
          <t>₹4,06,635 + ₹84,307</t>
        </is>
      </c>
    </row>
    <row r="38"/>
    <row r="39">
      <c r="A39" t="inlineStr">
        <is>
          <t>Tax saving from CF absorption  (realised ₹98,012)</t>
        </is>
      </c>
      <c r="B39" t="n">
        <v>15290</v>
      </c>
      <c r="C39" t="inlineStr">
        <is>
          <t>F&amp;O at marginal 15% + cess: saves ~₹15,290 vs paying full slab rate</t>
        </is>
      </c>
    </row>
    <row r="40">
      <c r="A40" t="inlineStr">
        <is>
          <t>Additional saving if swing ₹8,364 also books</t>
        </is>
      </c>
      <c r="B40" t="n">
        <v>1305</v>
      </c>
      <c r="C40" t="inlineStr">
        <is>
          <t>8,364 × 15% × 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2026-06-06T16:57:39Z</dcterms:created>
  <dcterms:modified xsi:type="dcterms:W3CDTF">2026-06-06T17:14:57Z</dcterms:modified>
  <cp:revision>0</cp:revision>
</cp:coreProperties>
</file>